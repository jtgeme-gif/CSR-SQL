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3433721-my.sharepoint.com/personal/jgemellaro_mcgrawmorris_com/Documents/Documents/Trackers/Blank Forms/"/>
    </mc:Choice>
  </mc:AlternateContent>
  <xr:revisionPtr revIDLastSave="0" documentId="8_{2A79AC76-87AA-45A3-8AC6-DF9C1191E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tigation 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91" i="1"/>
  <c r="D90" i="1"/>
  <c r="D89" i="1"/>
  <c r="D88" i="1"/>
  <c r="D87" i="1"/>
  <c r="D86" i="1"/>
  <c r="D85" i="1"/>
  <c r="D84" i="1"/>
  <c r="D83" i="1"/>
  <c r="D82" i="1"/>
  <c r="D81" i="1"/>
  <c r="D78" i="1"/>
  <c r="D77" i="1"/>
  <c r="D76" i="1"/>
  <c r="D75" i="1"/>
  <c r="D74" i="1"/>
  <c r="D73" i="1"/>
  <c r="D72" i="1"/>
  <c r="D71" i="1"/>
  <c r="D70" i="1"/>
  <c r="D69" i="1"/>
  <c r="D68" i="1"/>
  <c r="D65" i="1"/>
  <c r="D64" i="1"/>
  <c r="D63" i="1"/>
  <c r="D62" i="1"/>
  <c r="D61" i="1"/>
  <c r="D60" i="1"/>
  <c r="D59" i="1"/>
  <c r="D58" i="1"/>
  <c r="D57" i="1"/>
  <c r="D56" i="1"/>
  <c r="D55" i="1"/>
  <c r="D54" i="1"/>
  <c r="D49" i="1"/>
  <c r="D48" i="1"/>
  <c r="D47" i="1"/>
  <c r="D46" i="1"/>
  <c r="D41" i="1"/>
  <c r="D40" i="1"/>
  <c r="D39" i="1"/>
  <c r="D38" i="1"/>
  <c r="D37" i="1"/>
  <c r="D36" i="1"/>
  <c r="D35" i="1"/>
  <c r="D34" i="1"/>
  <c r="D33" i="1"/>
  <c r="D29" i="1"/>
  <c r="D28" i="1"/>
  <c r="D27" i="1"/>
  <c r="D26" i="1"/>
  <c r="D25" i="1"/>
  <c r="D24" i="1"/>
  <c r="D20" i="1"/>
  <c r="D19" i="1"/>
  <c r="D18" i="1"/>
  <c r="D17" i="1"/>
  <c r="D16" i="1"/>
  <c r="D15" i="1"/>
  <c r="D14" i="1"/>
  <c r="D6" i="1"/>
  <c r="D7" i="1"/>
  <c r="D8" i="1"/>
  <c r="D9" i="1"/>
  <c r="D10" i="1"/>
  <c r="D11" i="1"/>
  <c r="D92" i="1" l="1"/>
  <c r="D79" i="1"/>
  <c r="D66" i="1"/>
  <c r="D50" i="1"/>
  <c r="D42" i="1"/>
  <c r="D30" i="1"/>
  <c r="D21" i="1"/>
  <c r="D12" i="1"/>
  <c r="D93" i="1" l="1"/>
  <c r="D95" i="1" s="1"/>
  <c r="D22" i="1"/>
  <c r="D31" i="1"/>
  <c r="D43" i="1"/>
  <c r="D51" i="1"/>
</calcChain>
</file>

<file path=xl/sharedStrings.xml><?xml version="1.0" encoding="utf-8"?>
<sst xmlns="http://schemas.openxmlformats.org/spreadsheetml/2006/main" count="96" uniqueCount="71">
  <si>
    <t>Appendix C</t>
  </si>
  <si>
    <t>Task</t>
  </si>
  <si>
    <r>
      <t xml:space="preserve">Projected Time </t>
    </r>
    <r>
      <rPr>
        <b/>
        <sz val="9"/>
        <rFont val="Arial"/>
        <family val="2"/>
      </rPr>
      <t>(including already incurred/billed)</t>
    </r>
  </si>
  <si>
    <t>Hourly Rate</t>
  </si>
  <si>
    <t>Projected Fee</t>
  </si>
  <si>
    <t>I. Case Assessment/ Development/Administration</t>
  </si>
  <si>
    <t>Fact Investigation/ Development</t>
  </si>
  <si>
    <t>Initial Conference/ Interview with Client</t>
  </si>
  <si>
    <t>Analysis/Strategy</t>
  </si>
  <si>
    <t>Expert/Consultant (Preliminary Investigation)</t>
  </si>
  <si>
    <t>Document/File Management</t>
  </si>
  <si>
    <t>Budgeting</t>
  </si>
  <si>
    <t>Settlement/Non-Binding Arbitration (including preparation)</t>
  </si>
  <si>
    <t>I. Case Assessment/Development/Admin - Phase L100 Total</t>
  </si>
  <si>
    <t>II. Pre-Trial Pleadings and Motions</t>
  </si>
  <si>
    <t>Pleadings</t>
  </si>
  <si>
    <t>Research</t>
  </si>
  <si>
    <t>Preliminary Injunctions/Provisional Remedies</t>
  </si>
  <si>
    <t>Court Mandated Conferences/Appearances</t>
  </si>
  <si>
    <t>Dispositive Motions (if contemplated)</t>
  </si>
  <si>
    <t>Other Written Motions and Submissions</t>
  </si>
  <si>
    <t>Class Action Certification and Notice</t>
  </si>
  <si>
    <t>II. Pre-Trial Pleadings and Motions - Phase L200 Total</t>
  </si>
  <si>
    <t>III. Discovery</t>
  </si>
  <si>
    <t>Written Discovery</t>
  </si>
  <si>
    <t>Document Production and Review</t>
  </si>
  <si>
    <t>Depositions of all parties-preparation and attendance</t>
  </si>
  <si>
    <t>Expert Discovery:
- Preparation of Material for Expert Witness
- Retain and Confer with Expert Witness
- Plaintiff(s) Expert Deposition-preparation and attendance
- Defendant(s) Expert Deposition-preparation and attendance</t>
  </si>
  <si>
    <t>Discovery Motions</t>
  </si>
  <si>
    <t>Other Discovery</t>
  </si>
  <si>
    <t>III. Discovery - Phase L300 Total</t>
  </si>
  <si>
    <t>Combined Total (I., II., &amp; III)</t>
  </si>
  <si>
    <t>IV. Trial Preparation and Trial</t>
  </si>
  <si>
    <t>Plan and Preparation</t>
  </si>
  <si>
    <t>Fact Witnesses</t>
  </si>
  <si>
    <t>Expert Witnesses</t>
  </si>
  <si>
    <t>Written Motions and Submissions</t>
  </si>
  <si>
    <t>Other Trial Preparation and Activity</t>
  </si>
  <si>
    <t>Trial and Hearing Attendance</t>
  </si>
  <si>
    <t>Post-Trial Motions and Submissions</t>
  </si>
  <si>
    <t>Enforcement</t>
  </si>
  <si>
    <t>IV. Trial Preparation and Trial - Phase L400 Total</t>
  </si>
  <si>
    <t>Combined Total (I., II., III., &amp; IV )</t>
  </si>
  <si>
    <t>V. Appeal</t>
  </si>
  <si>
    <t>Appellate Motions and Submissions</t>
  </si>
  <si>
    <t>Appellate Briefs</t>
  </si>
  <si>
    <t>Oral Argument</t>
  </si>
  <si>
    <t>V. Appeal - Phase L500 Total</t>
  </si>
  <si>
    <t>Combined Total (I., II., III., IV., &amp; V. )</t>
  </si>
  <si>
    <t>VI. Expenses</t>
  </si>
  <si>
    <t>Pre-Trial</t>
  </si>
  <si>
    <t>Copying</t>
  </si>
  <si>
    <t>Outside Printing</t>
  </si>
  <si>
    <t>Legal Research</t>
  </si>
  <si>
    <t>Out-of-Town Travel</t>
  </si>
  <si>
    <t>Court Fees</t>
  </si>
  <si>
    <t>Subpoena Fees</t>
  </si>
  <si>
    <t>Deposition Transcripts</t>
  </si>
  <si>
    <t>Expert Fees*</t>
  </si>
  <si>
    <t>Arbitrators/Mediators</t>
  </si>
  <si>
    <t>Witness Fees</t>
  </si>
  <si>
    <t>Miscellaneous</t>
  </si>
  <si>
    <t xml:space="preserve">Pre-Trial Expense Sub Total </t>
  </si>
  <si>
    <t xml:space="preserve">Trial </t>
  </si>
  <si>
    <t>Trial Expense Sub Total</t>
  </si>
  <si>
    <t>Appeal(s)</t>
  </si>
  <si>
    <t>Appeal Expense Sub Total</t>
  </si>
  <si>
    <t>VI. Expenses - Phase E100 Total</t>
  </si>
  <si>
    <t>COMBINED TOTAL BUDGET (I., II., III., IV., V., &amp; VI.)</t>
  </si>
  <si>
    <t>*Travel Expenses attributable to experts must have prior authorization from the Claims Handler. Please refer to TMHCC's Litigation/Billing Guidelines for other expenses and budget items requiring prior authorization.</t>
  </si>
  <si>
    <t>LITIGATION TASK BUDGET  (NUMBER - NAME - MONTH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</si>
</sst>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Times New Roman"/>
      <charset val="204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/>
    </xf>
    <xf numFmtId="0" fontId="4" fillId="0" borderId="13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top" wrapText="1"/>
    </xf>
    <xf numFmtId="0" fontId="3" fillId="4" borderId="20" xfId="0" applyFont="1" applyFill="1" applyBorder="1" applyAlignment="1">
      <alignment horizontal="center"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164" fontId="6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5" fillId="0" borderId="29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center" vertical="top" wrapText="1"/>
    </xf>
    <xf numFmtId="164" fontId="2" fillId="0" borderId="11" xfId="0" applyNumberFormat="1" applyFont="1" applyBorder="1" applyAlignment="1">
      <alignment horizontal="center" vertical="top" wrapText="1"/>
    </xf>
    <xf numFmtId="164" fontId="10" fillId="2" borderId="4" xfId="0" applyNumberFormat="1" applyFont="1" applyFill="1" applyBorder="1" applyAlignment="1">
      <alignment horizontal="center" wrapText="1"/>
    </xf>
    <xf numFmtId="164" fontId="10" fillId="2" borderId="16" xfId="0" applyNumberFormat="1" applyFont="1" applyFill="1" applyBorder="1" applyAlignment="1">
      <alignment horizontal="center" wrapText="1"/>
    </xf>
    <xf numFmtId="164" fontId="6" fillId="2" borderId="18" xfId="0" applyNumberFormat="1" applyFont="1" applyFill="1" applyBorder="1" applyAlignment="1">
      <alignment horizontal="center" wrapText="1"/>
    </xf>
    <xf numFmtId="164" fontId="2" fillId="3" borderId="14" xfId="0" applyNumberFormat="1" applyFont="1" applyFill="1" applyBorder="1" applyAlignment="1">
      <alignment horizontal="center" vertical="top" wrapText="1"/>
    </xf>
    <xf numFmtId="164" fontId="11" fillId="2" borderId="4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0" fontId="5" fillId="0" borderId="1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7" fillId="3" borderId="12" xfId="0" applyFont="1" applyFill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164" fontId="10" fillId="2" borderId="28" xfId="0" applyNumberFormat="1" applyFont="1" applyFill="1" applyBorder="1" applyAlignment="1">
      <alignment horizontal="center" wrapText="1"/>
    </xf>
    <xf numFmtId="0" fontId="2" fillId="0" borderId="41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center" vertical="top" wrapText="1"/>
    </xf>
    <xf numFmtId="0" fontId="5" fillId="0" borderId="43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wrapText="1"/>
    </xf>
    <xf numFmtId="0" fontId="2" fillId="0" borderId="32" xfId="0" applyFont="1" applyBorder="1" applyAlignment="1">
      <alignment horizontal="left" vertical="top" wrapText="1"/>
    </xf>
    <xf numFmtId="164" fontId="2" fillId="0" borderId="28" xfId="0" applyNumberFormat="1" applyFont="1" applyBorder="1" applyAlignment="1">
      <alignment horizontal="center" vertical="top" wrapText="1"/>
    </xf>
    <xf numFmtId="164" fontId="6" fillId="3" borderId="19" xfId="0" applyNumberFormat="1" applyFont="1" applyFill="1" applyBorder="1" applyAlignment="1">
      <alignment horizontal="center" wrapText="1"/>
    </xf>
    <xf numFmtId="0" fontId="7" fillId="0" borderId="3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9" fillId="2" borderId="15" xfId="0" applyFont="1" applyFill="1" applyBorder="1" applyAlignment="1">
      <alignment horizontal="right" wrapText="1"/>
    </xf>
    <xf numFmtId="0" fontId="9" fillId="2" borderId="5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right" wrapText="1"/>
    </xf>
    <xf numFmtId="0" fontId="3" fillId="2" borderId="17" xfId="0" applyFont="1" applyFill="1" applyBorder="1" applyAlignment="1">
      <alignment horizontal="right" wrapText="1"/>
    </xf>
    <xf numFmtId="0" fontId="3" fillId="2" borderId="7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right" wrapText="1"/>
    </xf>
    <xf numFmtId="0" fontId="1" fillId="0" borderId="9" xfId="0" applyFont="1" applyBorder="1" applyAlignment="1">
      <alignment horizontal="center" vertical="top"/>
    </xf>
    <xf numFmtId="0" fontId="9" fillId="2" borderId="31" xfId="0" applyFont="1" applyFill="1" applyBorder="1" applyAlignment="1">
      <alignment horizontal="right" wrapText="1"/>
    </xf>
    <xf numFmtId="0" fontId="9" fillId="2" borderId="32" xfId="0" applyFont="1" applyFill="1" applyBorder="1" applyAlignment="1">
      <alignment horizontal="right" wrapText="1"/>
    </xf>
    <xf numFmtId="0" fontId="3" fillId="2" borderId="33" xfId="0" applyFont="1" applyFill="1" applyBorder="1" applyAlignment="1">
      <alignment horizontal="right" wrapText="1"/>
    </xf>
    <xf numFmtId="0" fontId="3" fillId="2" borderId="34" xfId="0" applyFont="1" applyFill="1" applyBorder="1" applyAlignment="1">
      <alignment horizontal="right" wrapText="1"/>
    </xf>
    <xf numFmtId="0" fontId="9" fillId="2" borderId="21" xfId="0" applyFont="1" applyFill="1" applyBorder="1" applyAlignment="1">
      <alignment horizontal="right" wrapText="1"/>
    </xf>
    <xf numFmtId="0" fontId="9" fillId="2" borderId="22" xfId="0" applyFont="1" applyFill="1" applyBorder="1" applyAlignment="1">
      <alignment horizontal="right" wrapText="1"/>
    </xf>
    <xf numFmtId="0" fontId="9" fillId="2" borderId="23" xfId="0" applyFont="1" applyFill="1" applyBorder="1" applyAlignment="1">
      <alignment horizontal="right" wrapText="1"/>
    </xf>
    <xf numFmtId="0" fontId="3" fillId="3" borderId="42" xfId="0" applyFont="1" applyFill="1" applyBorder="1" applyAlignment="1">
      <alignment horizontal="right" wrapText="1"/>
    </xf>
    <xf numFmtId="0" fontId="3" fillId="3" borderId="24" xfId="0" applyFont="1" applyFill="1" applyBorder="1" applyAlignment="1">
      <alignment horizontal="right" wrapText="1"/>
    </xf>
    <xf numFmtId="0" fontId="3" fillId="3" borderId="25" xfId="0" applyFont="1" applyFill="1" applyBorder="1" applyAlignment="1">
      <alignment horizontal="right" wrapText="1"/>
    </xf>
    <xf numFmtId="0" fontId="9" fillId="2" borderId="39" xfId="0" applyFont="1" applyFill="1" applyBorder="1" applyAlignment="1">
      <alignment horizontal="right" wrapText="1"/>
    </xf>
    <xf numFmtId="0" fontId="9" fillId="2" borderId="40" xfId="0" applyFont="1" applyFill="1" applyBorder="1" applyAlignment="1">
      <alignment horizontal="right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1" fillId="2" borderId="21" xfId="0" applyFont="1" applyFill="1" applyBorder="1" applyAlignment="1">
      <alignment horizontal="right" vertical="center" wrapText="1"/>
    </xf>
    <xf numFmtId="0" fontId="11" fillId="2" borderId="22" xfId="0" applyFont="1" applyFill="1" applyBorder="1" applyAlignment="1">
      <alignment horizontal="right" vertical="center" wrapText="1"/>
    </xf>
    <xf numFmtId="0" fontId="11" fillId="2" borderId="2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B54" sqref="B54"/>
    </sheetView>
  </sheetViews>
  <sheetFormatPr defaultColWidth="8.83203125" defaultRowHeight="12.75" x14ac:dyDescent="0.2"/>
  <cols>
    <col min="1" max="1" width="56.5" style="1" customWidth="1"/>
    <col min="2" max="2" width="21.6640625" style="1" customWidth="1"/>
    <col min="3" max="3" width="22.5" style="1" customWidth="1"/>
    <col min="4" max="4" width="26.5" style="26" customWidth="1"/>
    <col min="5" max="5" width="42" style="1" customWidth="1"/>
    <col min="6" max="16384" width="8.83203125" style="1"/>
  </cols>
  <sheetData>
    <row r="1" spans="1:4" ht="17.25" customHeight="1" x14ac:dyDescent="0.2">
      <c r="A1" s="45" t="s">
        <v>0</v>
      </c>
      <c r="B1" s="45"/>
      <c r="C1" s="45"/>
      <c r="D1" s="45"/>
    </row>
    <row r="2" spans="1:4" ht="21" customHeight="1" thickBot="1" x14ac:dyDescent="0.25">
      <c r="A2" s="52" t="s">
        <v>70</v>
      </c>
      <c r="B2" s="52"/>
      <c r="C2" s="52"/>
      <c r="D2" s="52"/>
    </row>
    <row r="3" spans="1:4" ht="39.75" thickBot="1" x14ac:dyDescent="0.25">
      <c r="A3" s="11" t="s">
        <v>1</v>
      </c>
      <c r="B3" s="11" t="s">
        <v>2</v>
      </c>
      <c r="C3" s="11" t="s">
        <v>3</v>
      </c>
      <c r="D3" s="12" t="s">
        <v>4</v>
      </c>
    </row>
    <row r="4" spans="1:4" ht="36" x14ac:dyDescent="0.2">
      <c r="A4" s="6" t="s">
        <v>5</v>
      </c>
      <c r="B4" s="7"/>
      <c r="C4" s="7"/>
      <c r="D4" s="19"/>
    </row>
    <row r="5" spans="1:4" ht="14.25" x14ac:dyDescent="0.2">
      <c r="A5" s="3" t="s">
        <v>6</v>
      </c>
      <c r="B5" s="2"/>
      <c r="C5" s="2">
        <v>225</v>
      </c>
      <c r="D5" s="20">
        <f>C5*B5</f>
        <v>0</v>
      </c>
    </row>
    <row r="6" spans="1:4" ht="14.25" x14ac:dyDescent="0.2">
      <c r="A6" s="3" t="s">
        <v>7</v>
      </c>
      <c r="B6" s="2"/>
      <c r="C6" s="2">
        <v>225</v>
      </c>
      <c r="D6" s="20">
        <f t="shared" ref="D6:D11" si="0">B6*C6</f>
        <v>0</v>
      </c>
    </row>
    <row r="7" spans="1:4" ht="14.25" x14ac:dyDescent="0.2">
      <c r="A7" s="3" t="s">
        <v>8</v>
      </c>
      <c r="B7" s="2"/>
      <c r="C7" s="2">
        <v>225</v>
      </c>
      <c r="D7" s="20">
        <f t="shared" si="0"/>
        <v>0</v>
      </c>
    </row>
    <row r="8" spans="1:4" ht="14.25" x14ac:dyDescent="0.2">
      <c r="A8" s="3" t="s">
        <v>9</v>
      </c>
      <c r="B8" s="2"/>
      <c r="C8" s="2">
        <v>225</v>
      </c>
      <c r="D8" s="20">
        <f t="shared" si="0"/>
        <v>0</v>
      </c>
    </row>
    <row r="9" spans="1:4" ht="14.25" x14ac:dyDescent="0.2">
      <c r="A9" s="3" t="s">
        <v>10</v>
      </c>
      <c r="B9" s="2"/>
      <c r="C9" s="2">
        <v>225</v>
      </c>
      <c r="D9" s="20">
        <f t="shared" si="0"/>
        <v>0</v>
      </c>
    </row>
    <row r="10" spans="1:4" ht="14.25" x14ac:dyDescent="0.2">
      <c r="A10" s="3" t="s">
        <v>11</v>
      </c>
      <c r="B10" s="2"/>
      <c r="C10" s="2">
        <v>225</v>
      </c>
      <c r="D10" s="20">
        <f t="shared" si="0"/>
        <v>0</v>
      </c>
    </row>
    <row r="11" spans="1:4" ht="29.25" thickBot="1" x14ac:dyDescent="0.25">
      <c r="A11" s="4" t="s">
        <v>12</v>
      </c>
      <c r="B11" s="5"/>
      <c r="C11" s="5">
        <v>225</v>
      </c>
      <c r="D11" s="20">
        <f t="shared" si="0"/>
        <v>0</v>
      </c>
    </row>
    <row r="12" spans="1:4" ht="15.75" customHeight="1" thickBot="1" x14ac:dyDescent="0.3">
      <c r="A12" s="57" t="s">
        <v>13</v>
      </c>
      <c r="B12" s="58"/>
      <c r="C12" s="59"/>
      <c r="D12" s="21">
        <f>SUM(D4:D11)</f>
        <v>0</v>
      </c>
    </row>
    <row r="13" spans="1:4" ht="18" x14ac:dyDescent="0.2">
      <c r="A13" s="6" t="s">
        <v>14</v>
      </c>
      <c r="B13" s="7"/>
      <c r="C13" s="7"/>
      <c r="D13" s="19"/>
    </row>
    <row r="14" spans="1:4" ht="14.25" x14ac:dyDescent="0.2">
      <c r="A14" s="3" t="s">
        <v>15</v>
      </c>
      <c r="B14" s="2"/>
      <c r="C14" s="2">
        <v>225</v>
      </c>
      <c r="D14" s="20">
        <f t="shared" ref="D14:D20" si="1">B14*C14</f>
        <v>0</v>
      </c>
    </row>
    <row r="15" spans="1:4" ht="14.25" x14ac:dyDescent="0.2">
      <c r="A15" s="3" t="s">
        <v>16</v>
      </c>
      <c r="B15" s="2"/>
      <c r="C15" s="2"/>
      <c r="D15" s="20">
        <f t="shared" si="1"/>
        <v>0</v>
      </c>
    </row>
    <row r="16" spans="1:4" ht="14.25" x14ac:dyDescent="0.2">
      <c r="A16" s="3" t="s">
        <v>17</v>
      </c>
      <c r="B16" s="2"/>
      <c r="C16" s="2"/>
      <c r="D16" s="20">
        <f t="shared" si="1"/>
        <v>0</v>
      </c>
    </row>
    <row r="17" spans="1:4" ht="14.25" x14ac:dyDescent="0.2">
      <c r="A17" s="3" t="s">
        <v>18</v>
      </c>
      <c r="B17" s="2"/>
      <c r="C17" s="2">
        <v>225</v>
      </c>
      <c r="D17" s="20">
        <f t="shared" si="1"/>
        <v>0</v>
      </c>
    </row>
    <row r="18" spans="1:4" ht="14.25" x14ac:dyDescent="0.2">
      <c r="A18" s="3" t="s">
        <v>19</v>
      </c>
      <c r="B18" s="2"/>
      <c r="C18" s="2">
        <v>225</v>
      </c>
      <c r="D18" s="20">
        <f t="shared" si="1"/>
        <v>0</v>
      </c>
    </row>
    <row r="19" spans="1:4" ht="14.25" x14ac:dyDescent="0.2">
      <c r="A19" s="3" t="s">
        <v>20</v>
      </c>
      <c r="B19" s="2"/>
      <c r="C19" s="2">
        <v>225</v>
      </c>
      <c r="D19" s="20">
        <f t="shared" si="1"/>
        <v>0</v>
      </c>
    </row>
    <row r="20" spans="1:4" ht="15" thickBot="1" x14ac:dyDescent="0.25">
      <c r="A20" s="4" t="s">
        <v>21</v>
      </c>
      <c r="B20" s="5"/>
      <c r="C20" s="5"/>
      <c r="D20" s="20">
        <f t="shared" si="1"/>
        <v>0</v>
      </c>
    </row>
    <row r="21" spans="1:4" ht="15" x14ac:dyDescent="0.25">
      <c r="A21" s="46" t="s">
        <v>22</v>
      </c>
      <c r="B21" s="47"/>
      <c r="C21" s="48"/>
      <c r="D21" s="22">
        <f>SUM(D13:D20)</f>
        <v>0</v>
      </c>
    </row>
    <row r="22" spans="1:4" ht="15.75" thickBot="1" x14ac:dyDescent="0.3">
      <c r="A22" s="8"/>
      <c r="B22" s="50"/>
      <c r="C22" s="51"/>
      <c r="D22" s="23">
        <f>D12+D21</f>
        <v>0</v>
      </c>
    </row>
    <row r="23" spans="1:4" ht="18" x14ac:dyDescent="0.2">
      <c r="A23" s="6" t="s">
        <v>23</v>
      </c>
      <c r="B23" s="7"/>
      <c r="C23" s="7"/>
      <c r="D23" s="19"/>
    </row>
    <row r="24" spans="1:4" ht="14.25" x14ac:dyDescent="0.2">
      <c r="A24" s="3" t="s">
        <v>24</v>
      </c>
      <c r="B24" s="2"/>
      <c r="C24" s="2">
        <v>225</v>
      </c>
      <c r="D24" s="20">
        <f t="shared" ref="D24:D29" si="2">B24*C24</f>
        <v>0</v>
      </c>
    </row>
    <row r="25" spans="1:4" ht="14.25" x14ac:dyDescent="0.2">
      <c r="A25" s="3" t="s">
        <v>25</v>
      </c>
      <c r="B25" s="2"/>
      <c r="C25" s="2">
        <v>225</v>
      </c>
      <c r="D25" s="20">
        <f t="shared" si="2"/>
        <v>0</v>
      </c>
    </row>
    <row r="26" spans="1:4" ht="28.5" x14ac:dyDescent="0.2">
      <c r="A26" s="3" t="s">
        <v>26</v>
      </c>
      <c r="B26" s="2"/>
      <c r="C26" s="2">
        <v>225</v>
      </c>
      <c r="D26" s="20">
        <f t="shared" si="2"/>
        <v>0</v>
      </c>
    </row>
    <row r="27" spans="1:4" ht="99.75" x14ac:dyDescent="0.2">
      <c r="A27" s="3" t="s">
        <v>27</v>
      </c>
      <c r="B27" s="2"/>
      <c r="C27" s="2">
        <v>225</v>
      </c>
      <c r="D27" s="20">
        <f t="shared" si="2"/>
        <v>0</v>
      </c>
    </row>
    <row r="28" spans="1:4" ht="14.25" x14ac:dyDescent="0.2">
      <c r="A28" s="3" t="s">
        <v>28</v>
      </c>
      <c r="B28" s="2"/>
      <c r="C28" s="2">
        <v>225</v>
      </c>
      <c r="D28" s="20">
        <f t="shared" si="2"/>
        <v>0</v>
      </c>
    </row>
    <row r="29" spans="1:4" ht="15" thickBot="1" x14ac:dyDescent="0.25">
      <c r="A29" s="4" t="s">
        <v>29</v>
      </c>
      <c r="B29" s="5"/>
      <c r="C29" s="5">
        <v>225</v>
      </c>
      <c r="D29" s="20">
        <f t="shared" si="2"/>
        <v>0</v>
      </c>
    </row>
    <row r="30" spans="1:4" ht="15" x14ac:dyDescent="0.25">
      <c r="A30" s="46" t="s">
        <v>30</v>
      </c>
      <c r="B30" s="47"/>
      <c r="C30" s="48"/>
      <c r="D30" s="22">
        <f>SUM(D23:D29)</f>
        <v>0</v>
      </c>
    </row>
    <row r="31" spans="1:4" ht="15.75" thickBot="1" x14ac:dyDescent="0.3">
      <c r="A31" s="49" t="s">
        <v>31</v>
      </c>
      <c r="B31" s="50"/>
      <c r="C31" s="51"/>
      <c r="D31" s="23">
        <f>D12+D21+D30</f>
        <v>0</v>
      </c>
    </row>
    <row r="32" spans="1:4" ht="18" x14ac:dyDescent="0.2">
      <c r="A32" s="9" t="s">
        <v>32</v>
      </c>
      <c r="B32" s="7"/>
      <c r="C32" s="7"/>
      <c r="D32" s="19"/>
    </row>
    <row r="33" spans="1:4" ht="14.25" x14ac:dyDescent="0.2">
      <c r="A33" s="3" t="s">
        <v>33</v>
      </c>
      <c r="B33" s="2"/>
      <c r="C33" s="2">
        <v>225</v>
      </c>
      <c r="D33" s="20">
        <f t="shared" ref="D33:D41" si="3">B33*C33</f>
        <v>0</v>
      </c>
    </row>
    <row r="34" spans="1:4" ht="14.25" x14ac:dyDescent="0.2">
      <c r="A34" s="3" t="s">
        <v>34</v>
      </c>
      <c r="B34" s="2"/>
      <c r="C34" s="2">
        <v>225</v>
      </c>
      <c r="D34" s="20">
        <f t="shared" si="3"/>
        <v>0</v>
      </c>
    </row>
    <row r="35" spans="1:4" ht="14.25" x14ac:dyDescent="0.2">
      <c r="A35" s="3" t="s">
        <v>35</v>
      </c>
      <c r="B35" s="2"/>
      <c r="C35" s="2">
        <v>225</v>
      </c>
      <c r="D35" s="20">
        <f t="shared" si="3"/>
        <v>0</v>
      </c>
    </row>
    <row r="36" spans="1:4" ht="14.25" x14ac:dyDescent="0.2">
      <c r="A36" s="3" t="s">
        <v>36</v>
      </c>
      <c r="B36" s="2"/>
      <c r="C36" s="2">
        <v>225</v>
      </c>
      <c r="D36" s="20">
        <f t="shared" si="3"/>
        <v>0</v>
      </c>
    </row>
    <row r="37" spans="1:4" ht="14.25" x14ac:dyDescent="0.2">
      <c r="A37" s="3" t="s">
        <v>16</v>
      </c>
      <c r="B37" s="2"/>
      <c r="C37" s="2"/>
      <c r="D37" s="20">
        <f t="shared" si="3"/>
        <v>0</v>
      </c>
    </row>
    <row r="38" spans="1:4" ht="14.25" x14ac:dyDescent="0.2">
      <c r="A38" s="3" t="s">
        <v>37</v>
      </c>
      <c r="B38" s="2"/>
      <c r="C38" s="2">
        <v>225</v>
      </c>
      <c r="D38" s="20">
        <f t="shared" si="3"/>
        <v>0</v>
      </c>
    </row>
    <row r="39" spans="1:4" ht="14.25" x14ac:dyDescent="0.2">
      <c r="A39" s="17" t="s">
        <v>38</v>
      </c>
      <c r="B39" s="18"/>
      <c r="C39" s="18">
        <v>225</v>
      </c>
      <c r="D39" s="20">
        <f t="shared" si="3"/>
        <v>0</v>
      </c>
    </row>
    <row r="40" spans="1:4" ht="14.25" x14ac:dyDescent="0.2">
      <c r="A40" s="37" t="s">
        <v>39</v>
      </c>
      <c r="B40" s="28"/>
      <c r="C40" s="28">
        <v>225</v>
      </c>
      <c r="D40" s="20">
        <f t="shared" si="3"/>
        <v>0</v>
      </c>
    </row>
    <row r="41" spans="1:4" ht="15" thickBot="1" x14ac:dyDescent="0.25">
      <c r="A41" s="39" t="s">
        <v>40</v>
      </c>
      <c r="B41" s="36"/>
      <c r="C41" s="36"/>
      <c r="D41" s="20">
        <f t="shared" si="3"/>
        <v>0</v>
      </c>
    </row>
    <row r="42" spans="1:4" ht="15" x14ac:dyDescent="0.25">
      <c r="A42" s="53" t="s">
        <v>41</v>
      </c>
      <c r="B42" s="54"/>
      <c r="C42" s="54"/>
      <c r="D42" s="35">
        <f>SUM(D32:D41)</f>
        <v>0</v>
      </c>
    </row>
    <row r="43" spans="1:4" ht="15.75" thickBot="1" x14ac:dyDescent="0.3">
      <c r="A43" s="55" t="s">
        <v>42</v>
      </c>
      <c r="B43" s="56"/>
      <c r="C43" s="56"/>
      <c r="D43" s="23">
        <f>D12+D21+D30+D42</f>
        <v>0</v>
      </c>
    </row>
    <row r="44" spans="1:4" ht="15.75" thickBot="1" x14ac:dyDescent="0.3">
      <c r="A44" s="13"/>
      <c r="B44" s="13"/>
      <c r="C44" s="13"/>
      <c r="D44" s="15"/>
    </row>
    <row r="45" spans="1:4" ht="21.75" customHeight="1" x14ac:dyDescent="0.25">
      <c r="A45" s="40" t="s">
        <v>43</v>
      </c>
      <c r="B45" s="41"/>
      <c r="C45" s="41"/>
      <c r="D45" s="42"/>
    </row>
    <row r="46" spans="1:4" ht="14.25" x14ac:dyDescent="0.2">
      <c r="A46" s="37" t="s">
        <v>44</v>
      </c>
      <c r="B46" s="28"/>
      <c r="C46" s="28">
        <v>225</v>
      </c>
      <c r="D46" s="20">
        <f t="shared" ref="D46:D49" si="4">B46*C46</f>
        <v>0</v>
      </c>
    </row>
    <row r="47" spans="1:4" ht="14.25" x14ac:dyDescent="0.2">
      <c r="A47" s="37" t="s">
        <v>45</v>
      </c>
      <c r="B47" s="28"/>
      <c r="C47" s="28">
        <v>225</v>
      </c>
      <c r="D47" s="20">
        <f t="shared" si="4"/>
        <v>0</v>
      </c>
    </row>
    <row r="48" spans="1:4" ht="14.25" x14ac:dyDescent="0.2">
      <c r="A48" s="27" t="s">
        <v>16</v>
      </c>
      <c r="B48" s="7"/>
      <c r="C48" s="7"/>
      <c r="D48" s="20">
        <f t="shared" si="4"/>
        <v>0</v>
      </c>
    </row>
    <row r="49" spans="1:4" ht="15" thickBot="1" x14ac:dyDescent="0.25">
      <c r="A49" s="3" t="s">
        <v>46</v>
      </c>
      <c r="B49" s="2"/>
      <c r="C49" s="2">
        <v>225</v>
      </c>
      <c r="D49" s="20">
        <f t="shared" si="4"/>
        <v>0</v>
      </c>
    </row>
    <row r="50" spans="1:4" ht="15" x14ac:dyDescent="0.25">
      <c r="A50" s="46" t="s">
        <v>47</v>
      </c>
      <c r="B50" s="47"/>
      <c r="C50" s="48"/>
      <c r="D50" s="22">
        <f>SUM(D45:D49)</f>
        <v>0</v>
      </c>
    </row>
    <row r="51" spans="1:4" ht="15.75" thickBot="1" x14ac:dyDescent="0.3">
      <c r="A51" s="49" t="s">
        <v>48</v>
      </c>
      <c r="B51" s="50"/>
      <c r="C51" s="51"/>
      <c r="D51" s="23">
        <f>D12+D21+D30+D42+D50</f>
        <v>0</v>
      </c>
    </row>
    <row r="52" spans="1:4" ht="18" x14ac:dyDescent="0.2">
      <c r="A52" s="6" t="s">
        <v>49</v>
      </c>
      <c r="B52" s="7"/>
      <c r="C52" s="7"/>
      <c r="D52" s="19"/>
    </row>
    <row r="53" spans="1:4" ht="16.5" thickBot="1" x14ac:dyDescent="0.25">
      <c r="A53" s="33" t="s">
        <v>50</v>
      </c>
      <c r="B53" s="10"/>
      <c r="C53" s="10"/>
      <c r="D53" s="24"/>
    </row>
    <row r="54" spans="1:4" ht="14.25" x14ac:dyDescent="0.2">
      <c r="A54" s="27" t="s">
        <v>51</v>
      </c>
      <c r="B54" s="2">
        <v>1</v>
      </c>
      <c r="C54" s="2">
        <v>50</v>
      </c>
      <c r="D54" s="20">
        <f t="shared" ref="D54:D65" si="5">B54*C54</f>
        <v>50</v>
      </c>
    </row>
    <row r="55" spans="1:4" ht="14.25" x14ac:dyDescent="0.2">
      <c r="A55" s="3" t="s">
        <v>52</v>
      </c>
      <c r="B55" s="2"/>
      <c r="C55" s="2"/>
      <c r="D55" s="20">
        <f t="shared" si="5"/>
        <v>0</v>
      </c>
    </row>
    <row r="56" spans="1:4" ht="14.25" x14ac:dyDescent="0.2">
      <c r="A56" s="3" t="s">
        <v>53</v>
      </c>
      <c r="B56" s="2"/>
      <c r="C56" s="2"/>
      <c r="D56" s="20">
        <f t="shared" si="5"/>
        <v>0</v>
      </c>
    </row>
    <row r="57" spans="1:4" ht="14.25" x14ac:dyDescent="0.2">
      <c r="A57" s="3" t="s">
        <v>54</v>
      </c>
      <c r="B57" s="2">
        <v>1</v>
      </c>
      <c r="C57" s="2">
        <v>1000</v>
      </c>
      <c r="D57" s="20">
        <f t="shared" si="5"/>
        <v>1000</v>
      </c>
    </row>
    <row r="58" spans="1:4" ht="14.25" x14ac:dyDescent="0.2">
      <c r="A58" s="3" t="s">
        <v>55</v>
      </c>
      <c r="B58" s="2"/>
      <c r="C58" s="29"/>
      <c r="D58" s="20">
        <f t="shared" si="5"/>
        <v>0</v>
      </c>
    </row>
    <row r="59" spans="1:4" ht="14.25" x14ac:dyDescent="0.2">
      <c r="A59" s="3" t="s">
        <v>56</v>
      </c>
      <c r="B59" s="2">
        <v>1</v>
      </c>
      <c r="C59" s="29">
        <v>1000</v>
      </c>
      <c r="D59" s="20">
        <f t="shared" si="5"/>
        <v>1000</v>
      </c>
    </row>
    <row r="60" spans="1:4" ht="14.25" x14ac:dyDescent="0.2">
      <c r="A60" s="3" t="s">
        <v>57</v>
      </c>
      <c r="B60" s="2">
        <v>1</v>
      </c>
      <c r="C60" s="29">
        <v>2000</v>
      </c>
      <c r="D60" s="20">
        <f t="shared" si="5"/>
        <v>2000</v>
      </c>
    </row>
    <row r="61" spans="1:4" ht="14.25" x14ac:dyDescent="0.2">
      <c r="A61" s="3" t="s">
        <v>58</v>
      </c>
      <c r="B61" s="2"/>
      <c r="C61" s="29"/>
      <c r="D61" s="20">
        <f t="shared" si="5"/>
        <v>0</v>
      </c>
    </row>
    <row r="62" spans="1:4" ht="14.25" x14ac:dyDescent="0.2">
      <c r="A62" s="17" t="s">
        <v>59</v>
      </c>
      <c r="B62" s="18"/>
      <c r="C62" s="30"/>
      <c r="D62" s="20">
        <f t="shared" si="5"/>
        <v>0</v>
      </c>
    </row>
    <row r="63" spans="1:4" ht="14.25" x14ac:dyDescent="0.2">
      <c r="A63" s="37" t="s">
        <v>56</v>
      </c>
      <c r="B63" s="28"/>
      <c r="C63" s="31"/>
      <c r="D63" s="20">
        <f t="shared" si="5"/>
        <v>0</v>
      </c>
    </row>
    <row r="64" spans="1:4" ht="14.25" x14ac:dyDescent="0.2">
      <c r="A64" s="37" t="s">
        <v>60</v>
      </c>
      <c r="B64" s="28">
        <v>1</v>
      </c>
      <c r="C64" s="31">
        <v>100</v>
      </c>
      <c r="D64" s="20">
        <f t="shared" si="5"/>
        <v>100</v>
      </c>
    </row>
    <row r="65" spans="1:4" ht="14.25" x14ac:dyDescent="0.2">
      <c r="A65" s="37" t="s">
        <v>61</v>
      </c>
      <c r="B65" s="28"/>
      <c r="C65" s="31"/>
      <c r="D65" s="20">
        <f t="shared" si="5"/>
        <v>0</v>
      </c>
    </row>
    <row r="66" spans="1:4" ht="15" x14ac:dyDescent="0.25">
      <c r="A66" s="60" t="s">
        <v>62</v>
      </c>
      <c r="B66" s="61"/>
      <c r="C66" s="62"/>
      <c r="D66" s="43">
        <f>SUM(D54:D65)</f>
        <v>4150</v>
      </c>
    </row>
    <row r="67" spans="1:4" ht="16.5" thickBot="1" x14ac:dyDescent="0.25">
      <c r="A67" s="44" t="s">
        <v>63</v>
      </c>
      <c r="B67" s="28"/>
      <c r="C67" s="31"/>
      <c r="D67" s="38"/>
    </row>
    <row r="68" spans="1:4" ht="14.25" x14ac:dyDescent="0.2">
      <c r="A68" s="27" t="s">
        <v>51</v>
      </c>
      <c r="B68" s="7"/>
      <c r="C68" s="32"/>
      <c r="D68" s="20">
        <f t="shared" ref="D68:D78" si="6">B68*C68</f>
        <v>0</v>
      </c>
    </row>
    <row r="69" spans="1:4" ht="14.25" x14ac:dyDescent="0.2">
      <c r="A69" s="3" t="s">
        <v>52</v>
      </c>
      <c r="B69" s="2"/>
      <c r="C69" s="29"/>
      <c r="D69" s="20">
        <f t="shared" si="6"/>
        <v>0</v>
      </c>
    </row>
    <row r="70" spans="1:4" ht="14.25" x14ac:dyDescent="0.2">
      <c r="A70" s="3" t="s">
        <v>53</v>
      </c>
      <c r="B70" s="2"/>
      <c r="C70" s="2"/>
      <c r="D70" s="20">
        <f t="shared" si="6"/>
        <v>0</v>
      </c>
    </row>
    <row r="71" spans="1:4" ht="14.25" x14ac:dyDescent="0.2">
      <c r="A71" s="3" t="s">
        <v>54</v>
      </c>
      <c r="B71" s="2">
        <v>1</v>
      </c>
      <c r="C71" s="2">
        <v>1000</v>
      </c>
      <c r="D71" s="20">
        <f t="shared" si="6"/>
        <v>1000</v>
      </c>
    </row>
    <row r="72" spans="1:4" ht="14.25" x14ac:dyDescent="0.2">
      <c r="A72" s="3" t="s">
        <v>55</v>
      </c>
      <c r="B72" s="2"/>
      <c r="C72" s="2"/>
      <c r="D72" s="20">
        <f t="shared" si="6"/>
        <v>0</v>
      </c>
    </row>
    <row r="73" spans="1:4" ht="14.25" x14ac:dyDescent="0.2">
      <c r="A73" s="3" t="s">
        <v>56</v>
      </c>
      <c r="B73" s="2"/>
      <c r="C73" s="2"/>
      <c r="D73" s="20">
        <f t="shared" si="6"/>
        <v>0</v>
      </c>
    </row>
    <row r="74" spans="1:4" ht="14.25" x14ac:dyDescent="0.2">
      <c r="A74" s="3" t="s">
        <v>57</v>
      </c>
      <c r="B74" s="2"/>
      <c r="C74" s="2"/>
      <c r="D74" s="20">
        <f t="shared" si="6"/>
        <v>0</v>
      </c>
    </row>
    <row r="75" spans="1:4" ht="14.25" x14ac:dyDescent="0.2">
      <c r="A75" s="3" t="s">
        <v>58</v>
      </c>
      <c r="B75" s="2"/>
      <c r="C75" s="2"/>
      <c r="D75" s="20">
        <f t="shared" si="6"/>
        <v>0</v>
      </c>
    </row>
    <row r="76" spans="1:4" ht="14.25" x14ac:dyDescent="0.2">
      <c r="A76" s="3" t="s">
        <v>56</v>
      </c>
      <c r="B76" s="2"/>
      <c r="C76" s="2"/>
      <c r="D76" s="20">
        <f t="shared" si="6"/>
        <v>0</v>
      </c>
    </row>
    <row r="77" spans="1:4" ht="14.25" x14ac:dyDescent="0.2">
      <c r="A77" s="17" t="s">
        <v>60</v>
      </c>
      <c r="B77" s="18"/>
      <c r="C77" s="18"/>
      <c r="D77" s="20">
        <f t="shared" si="6"/>
        <v>0</v>
      </c>
    </row>
    <row r="78" spans="1:4" ht="14.25" x14ac:dyDescent="0.2">
      <c r="A78" s="17" t="s">
        <v>61</v>
      </c>
      <c r="B78" s="18"/>
      <c r="C78" s="18"/>
      <c r="D78" s="20">
        <f t="shared" si="6"/>
        <v>0</v>
      </c>
    </row>
    <row r="79" spans="1:4" ht="15" x14ac:dyDescent="0.25">
      <c r="A79" s="60" t="s">
        <v>64</v>
      </c>
      <c r="B79" s="61"/>
      <c r="C79" s="61"/>
      <c r="D79" s="43">
        <f>SUM(D68:D78)</f>
        <v>1000</v>
      </c>
    </row>
    <row r="80" spans="1:4" ht="16.5" thickBot="1" x14ac:dyDescent="0.25">
      <c r="A80" s="34" t="s">
        <v>65</v>
      </c>
      <c r="B80" s="7"/>
      <c r="C80" s="7"/>
      <c r="D80" s="19"/>
    </row>
    <row r="81" spans="1:4" ht="14.25" x14ac:dyDescent="0.2">
      <c r="A81" s="27" t="s">
        <v>51</v>
      </c>
      <c r="B81" s="2"/>
      <c r="C81" s="2"/>
      <c r="D81" s="20">
        <f t="shared" ref="D81:D91" si="7">B81*C81</f>
        <v>0</v>
      </c>
    </row>
    <row r="82" spans="1:4" ht="14.25" x14ac:dyDescent="0.2">
      <c r="A82" s="3" t="s">
        <v>52</v>
      </c>
      <c r="B82" s="2"/>
      <c r="C82" s="2"/>
      <c r="D82" s="20">
        <f t="shared" si="7"/>
        <v>0</v>
      </c>
    </row>
    <row r="83" spans="1:4" ht="14.25" x14ac:dyDescent="0.2">
      <c r="A83" s="3" t="s">
        <v>53</v>
      </c>
      <c r="B83" s="2"/>
      <c r="C83" s="2"/>
      <c r="D83" s="20">
        <f t="shared" si="7"/>
        <v>0</v>
      </c>
    </row>
    <row r="84" spans="1:4" ht="14.25" x14ac:dyDescent="0.2">
      <c r="A84" s="3" t="s">
        <v>54</v>
      </c>
      <c r="B84" s="2">
        <v>1</v>
      </c>
      <c r="C84" s="2">
        <v>1000</v>
      </c>
      <c r="D84" s="20">
        <f t="shared" si="7"/>
        <v>1000</v>
      </c>
    </row>
    <row r="85" spans="1:4" ht="14.25" x14ac:dyDescent="0.2">
      <c r="A85" s="3" t="s">
        <v>55</v>
      </c>
      <c r="B85" s="2">
        <v>1</v>
      </c>
      <c r="C85" s="2">
        <v>500</v>
      </c>
      <c r="D85" s="20">
        <f t="shared" si="7"/>
        <v>500</v>
      </c>
    </row>
    <row r="86" spans="1:4" ht="14.25" x14ac:dyDescent="0.2">
      <c r="A86" s="3" t="s">
        <v>56</v>
      </c>
      <c r="B86" s="2"/>
      <c r="C86" s="2"/>
      <c r="D86" s="20">
        <f t="shared" si="7"/>
        <v>0</v>
      </c>
    </row>
    <row r="87" spans="1:4" ht="14.25" x14ac:dyDescent="0.2">
      <c r="A87" s="3" t="s">
        <v>57</v>
      </c>
      <c r="B87" s="2"/>
      <c r="C87" s="2"/>
      <c r="D87" s="20">
        <f t="shared" si="7"/>
        <v>0</v>
      </c>
    </row>
    <row r="88" spans="1:4" ht="14.25" x14ac:dyDescent="0.2">
      <c r="A88" s="3" t="s">
        <v>58</v>
      </c>
      <c r="B88" s="2"/>
      <c r="C88" s="2"/>
      <c r="D88" s="20">
        <f t="shared" si="7"/>
        <v>0</v>
      </c>
    </row>
    <row r="89" spans="1:4" ht="14.25" x14ac:dyDescent="0.2">
      <c r="A89" s="17" t="s">
        <v>59</v>
      </c>
      <c r="B89" s="18"/>
      <c r="C89" s="18"/>
      <c r="D89" s="20">
        <f t="shared" si="7"/>
        <v>0</v>
      </c>
    </row>
    <row r="90" spans="1:4" ht="14.25" x14ac:dyDescent="0.2">
      <c r="A90" s="37" t="s">
        <v>56</v>
      </c>
      <c r="B90" s="28"/>
      <c r="C90" s="28"/>
      <c r="D90" s="20">
        <f t="shared" si="7"/>
        <v>0</v>
      </c>
    </row>
    <row r="91" spans="1:4" ht="14.25" x14ac:dyDescent="0.2">
      <c r="A91" s="37" t="s">
        <v>60</v>
      </c>
      <c r="B91" s="28"/>
      <c r="C91" s="28"/>
      <c r="D91" s="20">
        <f t="shared" si="7"/>
        <v>0</v>
      </c>
    </row>
    <row r="92" spans="1:4" ht="15.75" thickBot="1" x14ac:dyDescent="0.3">
      <c r="A92" s="60" t="s">
        <v>66</v>
      </c>
      <c r="B92" s="61"/>
      <c r="C92" s="61"/>
      <c r="D92" s="43">
        <f>SUM(D81:D91)</f>
        <v>1500</v>
      </c>
    </row>
    <row r="93" spans="1:4" ht="15.75" thickBot="1" x14ac:dyDescent="0.3">
      <c r="A93" s="63" t="s">
        <v>67</v>
      </c>
      <c r="B93" s="64"/>
      <c r="C93" s="64"/>
      <c r="D93" s="21">
        <f>SUM(D66+D79+D92)</f>
        <v>6650</v>
      </c>
    </row>
    <row r="94" spans="1:4" ht="13.9" customHeight="1" thickBot="1" x14ac:dyDescent="0.3">
      <c r="A94" s="16"/>
      <c r="B94" s="16"/>
      <c r="C94" s="16"/>
      <c r="D94" s="14"/>
    </row>
    <row r="95" spans="1:4" ht="22.9" customHeight="1" thickBot="1" x14ac:dyDescent="0.25">
      <c r="A95" s="68" t="s">
        <v>68</v>
      </c>
      <c r="B95" s="69"/>
      <c r="C95" s="70"/>
      <c r="D95" s="25">
        <f>SUM(D12+D21+D30+D42+D50+D93)</f>
        <v>6650</v>
      </c>
    </row>
    <row r="97" spans="1:4" ht="33" customHeight="1" x14ac:dyDescent="0.2">
      <c r="A97" s="65" t="s">
        <v>69</v>
      </c>
      <c r="B97" s="66"/>
      <c r="C97" s="66"/>
      <c r="D97" s="67"/>
    </row>
  </sheetData>
  <protectedRanges>
    <protectedRange sqref="B81:C91" name="Range8"/>
    <protectedRange sqref="B68:C78" name="Range7"/>
    <protectedRange sqref="B54:C65" name="Range6"/>
    <protectedRange sqref="B46:C49" name="Range5"/>
    <protectedRange sqref="B33:C41" name="Range4"/>
    <protectedRange sqref="B24:C29" name="Range3"/>
    <protectedRange sqref="B5:C11" name="Range1"/>
    <protectedRange sqref="B14:C20" name="Range2"/>
  </protectedRanges>
  <mergeCells count="17">
    <mergeCell ref="A66:C66"/>
    <mergeCell ref="A79:C79"/>
    <mergeCell ref="A92:C92"/>
    <mergeCell ref="A93:C93"/>
    <mergeCell ref="A97:D97"/>
    <mergeCell ref="A95:C95"/>
    <mergeCell ref="A1:D1"/>
    <mergeCell ref="A50:C50"/>
    <mergeCell ref="A51:C51"/>
    <mergeCell ref="A2:D2"/>
    <mergeCell ref="A21:C21"/>
    <mergeCell ref="B22:C22"/>
    <mergeCell ref="A30:C30"/>
    <mergeCell ref="A31:C31"/>
    <mergeCell ref="A42:C42"/>
    <mergeCell ref="A43:C43"/>
    <mergeCell ref="A12:C12"/>
  </mergeCells>
  <printOptions horizontalCentered="1"/>
  <pageMargins left="0.2" right="0.2" top="0.75" bottom="0.5" header="0.3" footer="0.3"/>
  <pageSetup scale="90" orientation="portrait" r:id="rId1"/>
  <rowBreaks count="1" manualBreakCount="1">
    <brk id="4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4C342B848964FA926A95704734939" ma:contentTypeVersion="10" ma:contentTypeDescription="Create a new document." ma:contentTypeScope="" ma:versionID="02f40ac31a0cd0a0718c200dde5ca536">
  <xsd:schema xmlns:xsd="http://www.w3.org/2001/XMLSchema" xmlns:xs="http://www.w3.org/2001/XMLSchema" xmlns:p="http://schemas.microsoft.com/office/2006/metadata/properties" xmlns:ns3="57c762b0-2400-40e4-aa86-9cf200fd9408" xmlns:ns4="5cfc52ba-cd8e-4551-879e-9fc220aa2e22" targetNamespace="http://schemas.microsoft.com/office/2006/metadata/properties" ma:root="true" ma:fieldsID="ffb71c2e83e6acb379eaa3ee381c673c" ns3:_="" ns4:_="">
    <xsd:import namespace="57c762b0-2400-40e4-aa86-9cf200fd9408"/>
    <xsd:import namespace="5cfc52ba-cd8e-4551-879e-9fc220aa2e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762b0-2400-40e4-aa86-9cf200fd94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c52ba-cd8e-4551-879e-9fc220aa2e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c762b0-2400-40e4-aa86-9cf200fd9408" xsi:nil="true"/>
  </documentManagement>
</p:properties>
</file>

<file path=customXml/itemProps1.xml><?xml version="1.0" encoding="utf-8"?>
<ds:datastoreItem xmlns:ds="http://schemas.openxmlformats.org/officeDocument/2006/customXml" ds:itemID="{5E27B807-D87A-4F77-9724-3861F2BB17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3771DC-B932-4591-A748-3E66E0D7D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c762b0-2400-40e4-aa86-9cf200fd9408"/>
    <ds:schemaRef ds:uri="5cfc52ba-cd8e-4551-879e-9fc220aa2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1F7B66-E588-412B-B3D9-B73903DE1EB5}">
  <ds:schemaRefs>
    <ds:schemaRef ds:uri="http://schemas.microsoft.com/office/2006/metadata/properties"/>
    <ds:schemaRef ds:uri="http://schemas.microsoft.com/office/infopath/2007/PartnerControls"/>
    <ds:schemaRef ds:uri="57c762b0-2400-40e4-aa86-9cf200fd94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Litigation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Carlino, Bruce</dc:creator>
  <cp:keywords/>
  <dc:description/>
  <cp:lastModifiedBy>John Gemellaro</cp:lastModifiedBy>
  <cp:revision/>
  <dcterms:created xsi:type="dcterms:W3CDTF">2017-01-24T11:02:49Z</dcterms:created>
  <dcterms:modified xsi:type="dcterms:W3CDTF">2026-07-16T14:04:31Z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0x0101005904C342B848964FA926A95704734939</vt:lpwstr>
  </property>
</Properties>
</file>